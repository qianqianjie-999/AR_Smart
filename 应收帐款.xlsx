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2025.6" sheetId="9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<sst xmlns="http://schemas.openxmlformats.org/spreadsheetml/2006/main" count="66" uniqueCount="66">
  <si>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应收账款明细</t>
  </si>
  <si>
    <t>区域</t>
  </si>
  <si>
    <t>客户名称</t>
  </si>
  <si>
    <t>客户注册地址</t>
  </si>
  <si>
    <t>客户联系地址</t>
  </si>
  <si>
    <t>开票信息</t>
  </si>
  <si>
    <t>客户联系人（第一、第二、第三、其他）</t>
  </si>
  <si>
    <t>合同编号</t>
  </si>
  <si>
    <t>项目名称</t>
  </si>
  <si>
    <t>签订日期</t>
  </si>
  <si>
    <t>验收日期</t>
  </si>
  <si>
    <t>合同金额</t>
  </si>
  <si>
    <t>审计（结算）金额</t>
  </si>
  <si>
    <t>收回货款（第1次回款金额、回款时间，第n次回款金额、回款时间）</t>
  </si>
  <si>
    <t>尚欠金额</t>
  </si>
  <si>
    <t>付款方式</t>
  </si>
  <si>
    <t>付款节点（第1次应付金额、应付时间，第n次应付金额、应付时间）</t>
  </si>
  <si>
    <t>截止到2025年6月份到期应收款金额</t>
  </si>
  <si>
    <t>最后一次付款结点</t>
  </si>
  <si>
    <t>最近一次付款时间</t>
  </si>
  <si>
    <t>最后一次催款函时间（EMS）</t>
  </si>
  <si>
    <t>开票金额（（第1次开票金额、开票时间，第n次开票金额、开票时间）</t>
  </si>
  <si>
    <t>业务联系人</t>
  </si>
  <si>
    <t>合同附件</t>
  </si>
  <si>
    <t>验收资料附件</t>
  </si>
  <si>
    <t>结算附件</t>
  </si>
  <si>
    <t>发票附件</t>
  </si>
  <si>
    <t>催款函附件</t>
  </si>
  <si>
    <t>中断时效时间（最近一次付款时间+3年或最后一次催款函时间（EMS）+3年，哪个长选哪个）</t>
  </si>
  <si>
    <t>鱼台县</t>
  </si>
  <si>
    <t>鱼台县公安局交通警察大队</t>
  </si>
  <si>
    <t>鱼台县乡道智能管控二期</t>
  </si>
  <si>
    <t>2019.9.17</t>
  </si>
  <si>
    <t>2019.12.26</t>
  </si>
  <si>
    <t>安装完毕验收合格付合同额的30%，第二年末付至最终结算价的50%，第三年末付至最终结算价的70%，第四年末付至最终结算价的90%，第五年末付清余款。</t>
  </si>
  <si>
    <t>已开发票未付款金额：1344701</t>
  </si>
  <si>
    <t>汶上县</t>
  </si>
  <si>
    <t>鱼台县六处道路交通安全隐患点位安装交通信号灯等设备项目</t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</si>
  <si>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021.6.3</t>
    </r>
  </si>
  <si>
    <t>2021.12.14</t>
  </si>
  <si>
    <t>供货人所有设备调试安装完成经甲方验收合格付至合同额的50%，第二年付至最终结算价的70%，第三年付至最终结算价的90%，第五年末付清余款。</t>
  </si>
  <si>
    <t>高新区</t>
  </si>
  <si>
    <t>鱼台县公安局交通警察大队-鱼台县老枣曹线大货车闯禁卡口项目</t>
  </si>
  <si>
    <t>2023.5.19</t>
  </si>
  <si>
    <t>2023.6.28</t>
  </si>
  <si>
    <t>项目验收合格后付合同金额的70%，审计合格后付至合同金额的95%，余款1年内一次性付清。</t>
  </si>
  <si>
    <t>市区</t>
  </si>
  <si>
    <t>鱼台县公安局交通警察大队-两处黑烟车自动抓拍系统建设项目</t>
  </si>
  <si>
    <t>2023.5.30</t>
  </si>
  <si>
    <t>2023.11.10</t>
  </si>
  <si>
    <t>安装完毕验收合格后七日内付合同额的95%，剩余5%作为质保金，质保期满后七日内一次性付清。质保5年</t>
  </si>
  <si>
    <t>正元地理信息集团股份有限公司-鱼台县城市大脑建设项目智慧交通部分</t>
  </si>
  <si>
    <t>2021.11.09</t>
  </si>
  <si>
    <t>2022.11.14</t>
  </si>
  <si>
    <t>乙方建设完成，经甲方验收后10日内支付至合同金额的50%，第一年运维期完成（验收合格之日起一年），经甲方及业主方运维考核合格（以使用方正常使用为依据，下同）10日内支付至最终合同金额的70%，第二年运维期完成（验收 合格之日起一年），经甲方及业主方运维考核合格10日内支付至最终合同金额的90%；运维期结束后（验收合格之日起一年），经甲方及业主方运维考核合格10日内支付至最终合同金额的100%</t>
  </si>
  <si>
    <t>正元地理信息集团股份有限公司-鱼台县智慧停车合作建设项目</t>
  </si>
  <si>
    <t>2022.12.12</t>
  </si>
  <si>
    <t>2023.3.17</t>
  </si>
  <si>
    <t>合同签订并生效后，乙方施工项目经理到场后，甲方向乙方支付预付款为合同总额的50%，即人民币103588.21元，项目验收合格后30个工作日内，甲方向乙方支付合同总额的45%，即93229.38元，验收合格满1年后，15个工作日内支付总价款的5%即10358.82元。</t>
  </si>
  <si>
    <t>已开全额发票</t>
  </si>
  <si>
    <t>中国电信集团系统集成有限责任公司济宁分公司-鱼台县雪亮工程提升暨视频监控智能化建设项目A包</t>
  </si>
  <si>
    <t>2021.12.3</t>
  </si>
  <si>
    <t>2022.8.23</t>
  </si>
  <si>
    <t>乙方向业主供货、安装调试完毕并验收合格后，甲方支付合同总金额的30%，以的每12个月为一周期，每隔12个月月底甲方分别向乙方支付合同总金额（最终结算报告出具后，以结算价为准）的20%、20%、20%，留10%作为质保金，质保期满无质量问题，一次性无息付清余款。</t>
  </si>
  <si>
    <t>已开发票938610.39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</si>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</sst>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  <numFmt numFmtId="181" formatCode="0.00_);[Red]\(0.00\)"/>
  </numFmts>
  <fonts count="25">
    <font>
      <sz val="12"/>
      <name val="宋体"/>
      <charset val="134"/>
    </font>
    <font>
      <b/>
      <sz val="14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9"/>
      <color indexed="8"/>
      <name val="新宋体"/>
      <charset val="134"/>
    </font>
    <font>
      <sz val="10"/>
      <name val="Arial"/>
      <charset val="0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7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40" fontId="23" fillId="0" borderId="1" applyFill="0" applyAlignment="0" applyProtection="0">
      <alignment vertical="center"/>
    </xf>
    <xf numFmtId="0" fontId="0" fillId="0" borderId="0"/>
    <xf numFmtId="0" fontId="23" fillId="0" borderId="1" applyNumberFormat="0" applyFill="0" applyAlignment="0" applyProtection="0">
      <alignment vertical="center"/>
    </xf>
    <xf numFmtId="0" fontId="24" fillId="0" borderId="0"/>
    <xf numFmtId="40" fontId="23" fillId="0" borderId="1" applyFill="0" applyAlignment="0" applyProtection="0">
      <alignment vertical="center"/>
    </xf>
    <xf numFmtId="0" fontId="0" fillId="0" borderId="0"/>
    <xf numFmtId="40" fontId="23" fillId="0" borderId="1" applyFill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80" fontId="3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origAmountCrD" xfId="49"/>
    <cellStyle name="常规_按第一次收款业务员应收到期合同" xfId="50"/>
    <cellStyle name="accountNameD" xfId="51"/>
    <cellStyle name="Normal" xfId="52"/>
    <cellStyle name="origAmountDrD" xfId="53"/>
    <cellStyle name="常规_Sheet1" xfId="54"/>
    <cellStyle name="periodBeginBalanceOrigAmountDrD" xfId="55"/>
    <cellStyle name="常规 3" xfId="56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"/>
  <sheetViews>
    <sheetView tabSelected="1" zoomScale="85" zoomScaleNormal="85" workbookViewId="0">
      <pane ySplit="2" topLeftCell="A3" activePane="bottomLeft" state="frozen"/>
      <selection/>
      <selection pane="bottomLeft" activeCell="A7" sqref="A7"/>
    </sheetView>
  </sheetViews>
  <sheetFormatPr defaultColWidth="9" defaultRowHeight="14.25"/>
  <cols>
    <col min="2" max="2" width="14.75" customWidth="1"/>
    <col min="3" max="3" width="14.125" customWidth="1"/>
    <col min="4" max="4" width="14.875" customWidth="1"/>
    <col min="5" max="5" width="10.5" customWidth="1"/>
    <col min="6" max="6" width="16.75" customWidth="1"/>
    <col min="7" max="7" width="10.75" customWidth="1"/>
    <col min="8" max="8" width="23.625" customWidth="1"/>
    <col min="9" max="9" width="11.125" customWidth="1"/>
    <col min="10" max="10" width="10.875" customWidth="1"/>
    <col min="11" max="11" width="13.625" customWidth="1"/>
    <col min="12" max="12" width="16.5" customWidth="1"/>
    <col min="13" max="13" width="25" customWidth="1"/>
    <col min="14" max="14" width="13.625" customWidth="1"/>
    <col min="15" max="16" width="30.125" customWidth="1"/>
    <col min="17" max="17" width="19.375" customWidth="1"/>
    <col min="18" max="20" width="11.125" customWidth="1"/>
    <col min="21" max="21" width="19.625" customWidth="1"/>
    <col min="22" max="22" width="15.75" customWidth="1"/>
    <col min="23" max="23" width="12.375" customWidth="1"/>
    <col min="24" max="24" width="15" customWidth="1"/>
    <col min="25" max="25" width="12" customWidth="1"/>
    <col min="26" max="26" width="12.25" customWidth="1"/>
    <col min="27" max="27" width="13.625" customWidth="1"/>
    <col min="28" max="28" width="28.5" customWidth="1"/>
  </cols>
  <sheetData>
    <row r="1" ht="18.75" spans="1: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 ht="57" spans="1:2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4" t="s">
        <v>14</v>
      </c>
      <c r="O2" s="3" t="s">
        <v>15</v>
      </c>
      <c r="P2" s="3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6" t="s">
        <v>21</v>
      </c>
      <c r="V2" s="3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8" t="s">
        <v>28</v>
      </c>
    </row>
    <row r="3" ht="51" customHeight="1" spans="1:28">
      <c r="A3" s="9" t="s">
        <v>29</v>
      </c>
      <c r="B3" s="9" t="s">
        <v>30</v>
      </c>
      <c r="C3" s="9"/>
      <c r="D3" s="9"/>
      <c r="E3" s="9"/>
      <c r="F3" s="9"/>
      <c r="G3" s="9"/>
      <c r="H3" s="9" t="s">
        <v>31</v>
      </c>
      <c r="I3" s="9" t="s">
        <v>32</v>
      </c>
      <c r="J3" s="9" t="s">
        <v>33</v>
      </c>
      <c r="K3" s="9">
        <v>7069402</v>
      </c>
      <c r="L3" s="10">
        <v>7048666.73</v>
      </c>
      <c r="M3" s="10">
        <v>3190000</v>
      </c>
      <c r="N3" s="10">
        <f>L3-M3</f>
        <v>3858666.73</v>
      </c>
      <c r="O3" s="9" t="s">
        <v>34</v>
      </c>
      <c r="P3" s="9"/>
      <c r="Q3" s="11">
        <f>N3</f>
        <v>3858666.73</v>
      </c>
      <c r="R3" s="11"/>
      <c r="S3" s="11"/>
      <c r="T3" s="11"/>
      <c r="U3" s="9" t="s">
        <v>35</v>
      </c>
      <c r="V3" s="9"/>
      <c r="W3" s="7"/>
      <c r="X3" s="7"/>
      <c r="Y3" s="7"/>
      <c r="Z3" s="7"/>
      <c r="AA3" s="7"/>
      <c r="AB3" s="8"/>
    </row>
    <row r="4" ht="48" spans="1:28">
      <c r="A4" s="9" t="s">
        <v>36</v>
      </c>
      <c r="B4" s="9"/>
      <c r="C4" s="9"/>
      <c r="D4" s="9"/>
      <c r="E4" s="9"/>
      <c r="F4" s="9"/>
      <c r="G4" s="9"/>
      <c r="H4" s="9" t="s">
        <v>37</v>
      </c>
      <c r="I4" s="9" t="s">
        <v>38</v>
      </c>
      <c r="J4" s="9" t="s">
        <v>39</v>
      </c>
      <c r="K4" s="9">
        <v>1222158</v>
      </c>
      <c r="L4" s="10">
        <v>1316792.99</v>
      </c>
      <c r="M4" s="10"/>
      <c r="N4" s="10">
        <f>L4-M4</f>
        <v>1316792.99</v>
      </c>
      <c r="O4" s="9" t="s">
        <v>40</v>
      </c>
      <c r="P4" s="9"/>
      <c r="Q4" s="11">
        <f>L4*0.9</f>
        <v>1185113.691</v>
      </c>
      <c r="R4" s="11"/>
      <c r="S4" s="11"/>
      <c r="T4" s="11"/>
      <c r="U4" s="9"/>
      <c r="V4" s="9"/>
      <c r="W4" s="7"/>
      <c r="X4" s="7"/>
      <c r="Y4" s="7"/>
      <c r="Z4" s="7"/>
      <c r="AA4" s="7"/>
      <c r="AB4" s="8"/>
    </row>
    <row r="5" ht="36" spans="1:28">
      <c r="A5" s="9" t="s">
        <v>41</v>
      </c>
      <c r="B5" s="9"/>
      <c r="C5" s="9"/>
      <c r="D5" s="9"/>
      <c r="E5" s="9"/>
      <c r="F5" s="9"/>
      <c r="G5" s="9"/>
      <c r="H5" s="9" t="s">
        <v>42</v>
      </c>
      <c r="I5" s="9" t="s">
        <v>43</v>
      </c>
      <c r="J5" s="9" t="s">
        <v>44</v>
      </c>
      <c r="K5" s="9">
        <v>194578.52</v>
      </c>
      <c r="L5" s="10">
        <v>171790.56</v>
      </c>
      <c r="M5" s="10"/>
      <c r="N5" s="10">
        <f>L5-M5</f>
        <v>171790.56</v>
      </c>
      <c r="O5" s="9" t="s">
        <v>45</v>
      </c>
      <c r="P5" s="9"/>
      <c r="Q5" s="11">
        <f>L5-M5</f>
        <v>171790.56</v>
      </c>
      <c r="R5" s="11"/>
      <c r="S5" s="11"/>
      <c r="T5" s="11"/>
      <c r="U5" s="9"/>
      <c r="V5" s="9"/>
      <c r="W5" s="7"/>
      <c r="X5" s="7"/>
      <c r="Y5" s="7"/>
      <c r="Z5" s="7"/>
      <c r="AA5" s="7"/>
      <c r="AB5" s="8"/>
    </row>
    <row r="6" ht="36" spans="1:28">
      <c r="A6" s="9" t="s">
        <v>46</v>
      </c>
      <c r="B6" s="9"/>
      <c r="C6" s="9"/>
      <c r="D6" s="9"/>
      <c r="E6" s="9"/>
      <c r="F6" s="9"/>
      <c r="G6" s="9"/>
      <c r="H6" s="9" t="s">
        <v>47</v>
      </c>
      <c r="I6" s="9" t="s">
        <v>48</v>
      </c>
      <c r="J6" s="9" t="s">
        <v>49</v>
      </c>
      <c r="K6" s="9">
        <v>690180</v>
      </c>
      <c r="L6" s="10">
        <v>683522.7</v>
      </c>
      <c r="M6" s="10"/>
      <c r="N6" s="10">
        <f>L6-M6</f>
        <v>683522.7</v>
      </c>
      <c r="O6" s="9" t="s">
        <v>50</v>
      </c>
      <c r="P6" s="9"/>
      <c r="Q6" s="11">
        <f>K6*0.95</f>
        <v>655671</v>
      </c>
      <c r="R6" s="11"/>
      <c r="S6" s="11"/>
      <c r="T6" s="11"/>
      <c r="U6" s="9"/>
      <c r="V6" s="9"/>
      <c r="W6" s="7"/>
      <c r="X6" s="7"/>
      <c r="Y6" s="7"/>
      <c r="Z6" s="7"/>
      <c r="AA6" s="7"/>
      <c r="AB6" s="8"/>
    </row>
    <row r="7" ht="132" spans="1:28">
      <c r="A7" s="9"/>
      <c r="B7" s="9"/>
      <c r="C7" s="9"/>
      <c r="D7" s="9"/>
      <c r="E7" s="9"/>
      <c r="F7" s="9"/>
      <c r="G7" s="9"/>
      <c r="H7" s="9" t="s">
        <v>51</v>
      </c>
      <c r="I7" s="9" t="s">
        <v>52</v>
      </c>
      <c r="J7" s="9" t="s">
        <v>53</v>
      </c>
      <c r="K7" s="9">
        <v>2792801</v>
      </c>
      <c r="L7" s="10"/>
      <c r="M7" s="10">
        <v>1000000</v>
      </c>
      <c r="N7" s="10">
        <f>K7-M7</f>
        <v>1792801</v>
      </c>
      <c r="O7" s="9" t="s">
        <v>54</v>
      </c>
      <c r="P7" s="9"/>
      <c r="Q7" s="11">
        <f>K7-M7</f>
        <v>1792801</v>
      </c>
      <c r="R7" s="11"/>
      <c r="S7" s="11"/>
      <c r="T7" s="11"/>
      <c r="U7" s="9"/>
      <c r="V7" s="9"/>
      <c r="W7" s="7"/>
      <c r="X7" s="7"/>
      <c r="Y7" s="7"/>
      <c r="Z7" s="7"/>
      <c r="AA7" s="7"/>
      <c r="AB7" s="8"/>
    </row>
    <row r="8" ht="84" spans="1:28">
      <c r="A8" s="9"/>
      <c r="B8" s="9"/>
      <c r="C8" s="9"/>
      <c r="D8" s="9"/>
      <c r="E8" s="9"/>
      <c r="F8" s="9"/>
      <c r="G8" s="9"/>
      <c r="H8" s="9" t="s">
        <v>55</v>
      </c>
      <c r="I8" s="9" t="s">
        <v>56</v>
      </c>
      <c r="J8" s="9" t="s">
        <v>57</v>
      </c>
      <c r="K8" s="9">
        <v>207176.41</v>
      </c>
      <c r="L8" s="10"/>
      <c r="M8" s="10">
        <v>103588.21</v>
      </c>
      <c r="N8" s="10">
        <f>K8-M8</f>
        <v>103588.2</v>
      </c>
      <c r="O8" s="9" t="s">
        <v>58</v>
      </c>
      <c r="P8" s="9"/>
      <c r="Q8" s="11">
        <f>N8</f>
        <v>103588.2</v>
      </c>
      <c r="R8" s="11"/>
      <c r="S8" s="11"/>
      <c r="T8" s="11"/>
      <c r="U8" s="9" t="s">
        <v>59</v>
      </c>
      <c r="V8" s="9"/>
      <c r="W8" s="7"/>
      <c r="X8" s="7"/>
      <c r="Y8" s="7"/>
      <c r="Z8" s="7"/>
      <c r="AA8" s="7"/>
      <c r="AB8" s="8"/>
    </row>
    <row r="9" ht="91" customHeight="1" spans="1:28">
      <c r="A9" s="9"/>
      <c r="B9" s="9"/>
      <c r="C9" s="9"/>
      <c r="D9" s="9"/>
      <c r="E9" s="9"/>
      <c r="F9" s="9"/>
      <c r="G9" s="9"/>
      <c r="H9" s="9" t="s">
        <v>60</v>
      </c>
      <c r="I9" s="9" t="s">
        <v>61</v>
      </c>
      <c r="J9" s="9" t="s">
        <v>62</v>
      </c>
      <c r="K9" s="9">
        <v>3128701.3</v>
      </c>
      <c r="L9" s="10"/>
      <c r="M9" s="10"/>
      <c r="N9" s="10">
        <f>K9-M9</f>
        <v>3128701.3</v>
      </c>
      <c r="O9" s="9" t="s">
        <v>63</v>
      </c>
      <c r="P9" s="9"/>
      <c r="Q9" s="11">
        <f>N9*0.7</f>
        <v>2190090.91</v>
      </c>
      <c r="R9" s="11"/>
      <c r="S9" s="11"/>
      <c r="T9" s="11"/>
      <c r="U9" s="9" t="s">
        <v>64</v>
      </c>
      <c r="V9" s="9"/>
      <c r="W9" s="7"/>
      <c r="X9" s="7"/>
      <c r="Y9" s="7"/>
      <c r="Z9" s="7"/>
      <c r="AA9" s="7"/>
      <c r="AB9" s="8"/>
    </row>
    <row r="10" ht="24" customHeight="1" spans="1:28">
      <c r="A10" s="12"/>
      <c r="B10" s="12"/>
      <c r="C10" s="12"/>
      <c r="D10" s="12"/>
      <c r="E10" s="12"/>
      <c r="F10" s="12"/>
      <c r="G10" s="12"/>
      <c r="H10" s="12" t="s">
        <v>65</v>
      </c>
      <c r="I10" s="12"/>
      <c r="J10" s="12"/>
      <c r="K10" s="12">
        <f>SUM(K3:K9)</f>
        <v>15304997.23</v>
      </c>
      <c r="L10" s="12">
        <f>SUM(L3:L9)</f>
        <v>9220772.98</v>
      </c>
      <c r="M10" s="12">
        <f>SUM(M7:M9)</f>
        <v>1103588.21</v>
      </c>
      <c r="N10" s="12">
        <f>SUM(N3:N9)</f>
        <v>11055863.48</v>
      </c>
      <c r="O10" s="12"/>
      <c r="P10" s="12"/>
      <c r="Q10" s="13">
        <f>SUM(Q3:Q9)</f>
        <v>9957722.091</v>
      </c>
      <c r="R10" s="13"/>
      <c r="S10" s="13"/>
      <c r="T10" s="13"/>
      <c r="U10" s="12"/>
      <c r="V10" s="12"/>
      <c r="W10" s="14"/>
      <c r="X10" s="14"/>
      <c r="Y10" s="14"/>
      <c r="Z10" s="14"/>
      <c r="AA10" s="14"/>
      <c r="AB10" s="15"/>
    </row>
  </sheetData>
  <mergeCells count="1">
    <mergeCell ref="A1:AB1"/>
  </mergeCells>
  <pageMargins left="0.75" right="0.75" top="1" bottom="1" header="0.5" footer="0.5"/>
  <pageSetup paperSize="9" orientation="portrait"/>
  <headerFooter/>
  <ignoredErrors>
    <ignoredError sqref="M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AAA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qianqianjie</cp:lastModifiedBy>
  <dcterms:created xsi:type="dcterms:W3CDTF">2016-10-09T06:30:00Z</dcterms:created>
  <cp:lastPrinted>2021-01-29T08:13:00Z</cp:lastPrinted>
  <dcterms:modified xsi:type="dcterms:W3CDTF">2026-06-19T19:27:28Z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65F34119785286461F27356AB24AB9F0_43</vt:lpwstr>
  </property>
</Properties>
</file>